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B44EF6E-306F-4703-B000-D13898905A4B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Denial Matrix" sheetId="1" r:id="rId1"/>
    <sheet name="Location Statist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2" l="1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<sst xmlns="http://schemas.openxmlformats.org/spreadsheetml/2006/main" count="67" uniqueCount="67">
  <si>
    <t>Category</t>
  </si>
  <si>
    <t>Description</t>
  </si>
  <si>
    <t>Examples</t>
  </si>
  <si>
    <t>Correct Approach</t>
  </si>
  <si>
    <t>1. Clinical Redundancy</t>
  </si>
  <si>
    <t>Billing a general symptom alongside a definitive diagnosis that already explains that symptom.</t>
  </si>
  <si>
    <t>• M54.50 (LBP) + M51.26 (Displaced Disc)
• M54.2 (Cervicalgia) + M62.81 (Muscle Weakness)
• M25.561 (Knee pain) + M17.11 (Osteoarthritis)
• R53.1 (Weakness) + M54.2 (Cervicalgia)</t>
  </si>
  <si>
    <t>Drop the symptom code. Only bill the definitive diagnosis (e.g., M51.26 or M17.11) as it is inclusive of the associated pain or weakness.</t>
  </si>
  <si>
    <t>2. Vestibular Redundancy (H-R Conflict)</t>
  </si>
  <si>
    <t>Combining definitive vestibular disorders with general symptom codes for dizziness or gait.</t>
  </si>
  <si>
    <t>• H81.10 (BPPV) + R42 (Dizziness)
• H81.10 (BPPV) + R26.89 (Gait Abnormality)
• H81.393 (Peripheral Vertigo) + R42 (Dizziness)</t>
  </si>
  <si>
    <t>Bill the H-code only. Dizziness and gait issues are integral symptoms of vestibular disorders. Adding R-codes creates a 'redundant diagnosis' denial.</t>
  </si>
  <si>
    <t>3. Status vs. Acute Conflict</t>
  </si>
  <si>
    <t>Billing general pain codes for a joint that has a prosthetic/replacement (Z-code).</t>
  </si>
  <si>
    <t>• M25.562 (Knee pain) + Z96.652 (Artificial knee joint)</t>
  </si>
  <si>
    <t>Do not add the Z-code if treating for standard pain. If the Z-code is present, payers expect a 'T' series complication code.</t>
  </si>
  <si>
    <t>4. Lateralization Example</t>
  </si>
  <si>
    <t>Billing 'Unspecified' (9) alongside specific sides.</t>
  </si>
  <si>
    <t>• M25.561 (Right) + M25.562 (Left) + M25.569 (Unspecified)
• M25.511 (Right Shld) + M25.512 (Left Shld) + M25.519 (Unspecified)</t>
  </si>
  <si>
    <t>Stop using the '9' code entirely. Billing an unspecified side code alongside specific sides triggers an immediate data-integrity denial.</t>
  </si>
  <si>
    <t>5. Bilateral Combination Codes</t>
  </si>
  <si>
    <t>Billing separate unilateral codes where a single bilateral 'combination code' exists (common in Osteoarthritis).</t>
  </si>
  <si>
    <t>• M17.11 (Right Knee OA) + M17.12 (Left Knee OA)</t>
  </si>
  <si>
    <t>Use the Bilateral code (M17.0). OA has a specific bilateral code. Using separate R/L codes will cause an 'inclusive/redundancy' denial.</t>
  </si>
  <si>
    <t>6. Anatomical Overlap</t>
  </si>
  <si>
    <t>Clinical redundancy across the spine and extremities.</t>
  </si>
  <si>
    <t>• M54.41 (Sciatica) + M54.50 (LBP) + M79.606 (Leg Pain)
• M54.16 (Lumbar Radiculopathy) + G57.01 (Sciatica)</t>
  </si>
  <si>
    <t>Bill Sciatica (M54.4x) or Radiculopathy (M54.16) only. These combination codes cover both the back pain and the referred extremity pain.</t>
  </si>
  <si>
    <t>7. Gender-Specific Coding</t>
  </si>
  <si>
    <t>Using codes clinically restricted to one gender for a patient of the opposite gender.</t>
  </si>
  <si>
    <t>• N81 series (Female Genital Prolapse) used for a Male patient.</t>
  </si>
  <si>
    <t>Ensure Gender/DX alignment. Payer systems have automated Age/Gender edits. Verify code chapter is not gender-restricted before billing.</t>
  </si>
  <si>
    <t>8. Retired Codes</t>
  </si>
  <si>
    <t>Use of codes no longer in the ICD-10 manual.</t>
  </si>
  <si>
    <t>• M54.5 (Retired) instead of M54.50, M54.51, or M54.59.</t>
  </si>
  <si>
    <t>Ensure retired codes are blocked in your system. Use current valid alternates.</t>
  </si>
  <si>
    <t>Location</t>
  </si>
  <si>
    <t>Denial Count</t>
  </si>
  <si>
    <t>% of Total</t>
  </si>
  <si>
    <t>Lenox hill</t>
  </si>
  <si>
    <t>Astoria</t>
  </si>
  <si>
    <t>BensonHurst</t>
  </si>
  <si>
    <t>Brownsville</t>
  </si>
  <si>
    <t>Home Care</t>
  </si>
  <si>
    <t>Bedstuy</t>
  </si>
  <si>
    <t>Huntspoint</t>
  </si>
  <si>
    <t>Bushwick</t>
  </si>
  <si>
    <t>Sheepshead Bay</t>
  </si>
  <si>
    <t>Jamaica</t>
  </si>
  <si>
    <t>Sugar Hill</t>
  </si>
  <si>
    <t>Bay Ridge</t>
  </si>
  <si>
    <t>Church Ave</t>
  </si>
  <si>
    <t>Hell's Kitchen</t>
  </si>
  <si>
    <t>Inwood</t>
  </si>
  <si>
    <t>Castle Hill</t>
  </si>
  <si>
    <t>Upper East Side</t>
  </si>
  <si>
    <t>Central Harlem</t>
  </si>
  <si>
    <t>Clinton Hill</t>
  </si>
  <si>
    <t>Tribeca</t>
  </si>
  <si>
    <t>Sunset</t>
  </si>
  <si>
    <t>Midtown</t>
  </si>
  <si>
    <t>Greenpoint</t>
  </si>
  <si>
    <t>Chelsea</t>
  </si>
  <si>
    <t>Allerton</t>
  </si>
  <si>
    <t>Corona</t>
  </si>
  <si>
    <t>Flatbush</t>
  </si>
  <si>
    <t>Fordham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</si>
</sst>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1" applyNumberFormat="1" applyFont="1"/>
    <xf numFmtId="2" fontId="0" fillId="0" borderId="0" xfId="0" applyNumberFormat="1"/>
    <xf numFmtId="0" fontId="0" fillId="0" borderId="0" xfId="0" applyAlignment="1">
      <alignment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6" sqref="B6"/>
    </sheetView>
  </sheetViews>
  <sheetFormatPr defaultRowHeight="14.4" x14ac:dyDescent="0.3"/>
  <cols>
    <col min="1" max="1" width="41" customWidth="1"/>
    <col min="2" max="2" width="51.6640625" customWidth="1"/>
    <col min="3" max="3" width="157.77734375" bestFit="1" customWidth="1"/>
    <col min="4" max="4" width="6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t="s">
        <v>4</v>
      </c>
      <c r="B2" s="4" t="s">
        <v>5</v>
      </c>
      <c r="C2" s="4" t="s">
        <v>6</v>
      </c>
      <c r="D2" s="4" t="s">
        <v>7</v>
      </c>
    </row>
    <row r="3" spans="1:4" ht="43.2" x14ac:dyDescent="0.3">
      <c r="A3" t="s">
        <v>8</v>
      </c>
      <c r="B3" s="4" t="s">
        <v>9</v>
      </c>
      <c r="C3" s="4" t="s">
        <v>10</v>
      </c>
      <c r="D3" s="4" t="s">
        <v>11</v>
      </c>
    </row>
    <row r="4" spans="1:4" ht="28.8" x14ac:dyDescent="0.3">
      <c r="A4" t="s">
        <v>12</v>
      </c>
      <c r="B4" s="4" t="s">
        <v>13</v>
      </c>
      <c r="C4" s="4" t="s">
        <v>14</v>
      </c>
      <c r="D4" s="4" t="s">
        <v>15</v>
      </c>
    </row>
    <row r="5" spans="1:4" ht="28.8" x14ac:dyDescent="0.3">
      <c r="A5" t="s">
        <v>16</v>
      </c>
      <c r="B5" s="4" t="s">
        <v>17</v>
      </c>
      <c r="C5" s="4" t="s">
        <v>18</v>
      </c>
      <c r="D5" s="4" t="s">
        <v>19</v>
      </c>
    </row>
    <row r="6" spans="1:4" ht="28.8" x14ac:dyDescent="0.3">
      <c r="A6" t="s">
        <v>20</v>
      </c>
      <c r="B6" s="4" t="s">
        <v>21</v>
      </c>
      <c r="C6" s="4" t="s">
        <v>22</v>
      </c>
      <c r="D6" s="4" t="s">
        <v>23</v>
      </c>
    </row>
    <row r="7" spans="1:4" ht="43.2" x14ac:dyDescent="0.3">
      <c r="A7" t="s">
        <v>24</v>
      </c>
      <c r="B7" s="4" t="s">
        <v>25</v>
      </c>
      <c r="C7" s="4" t="s">
        <v>26</v>
      </c>
      <c r="D7" s="4" t="s">
        <v>27</v>
      </c>
    </row>
    <row r="8" spans="1:4" ht="43.2" x14ac:dyDescent="0.3">
      <c r="A8" t="s">
        <v>28</v>
      </c>
      <c r="B8" s="4" t="s">
        <v>29</v>
      </c>
      <c r="C8" s="4" t="s">
        <v>30</v>
      </c>
      <c r="D8" s="4" t="s">
        <v>31</v>
      </c>
    </row>
    <row r="9" spans="1:4" ht="28.8" x14ac:dyDescent="0.3">
      <c r="A9" t="s">
        <v>32</v>
      </c>
      <c r="B9" s="4" t="s">
        <v>33</v>
      </c>
      <c r="C9" s="4" t="s">
        <v>34</v>
      </c>
      <c r="D9" s="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selection activeCell="B11" sqref="B11"/>
    </sheetView>
  </sheetViews>
  <sheetFormatPr defaultRowHeight="14.4" x14ac:dyDescent="0.3"/>
  <cols>
    <col min="1" max="1" width="16" customWidth="1"/>
    <col min="2" max="2" width="14" customWidth="1"/>
    <col min="3" max="3" width="12" customWidth="1"/>
  </cols>
  <sheetData>
    <row r="1" spans="1:4" x14ac:dyDescent="0.3">
      <c r="A1" s="1" t="s">
        <v>36</v>
      </c>
      <c r="B1" s="1" t="s">
        <v>37</v>
      </c>
      <c r="C1" s="1" t="s">
        <v>38</v>
      </c>
    </row>
    <row r="2" spans="1:4" x14ac:dyDescent="0.3">
      <c r="A2" t="s">
        <v>39</v>
      </c>
      <c r="B2">
        <v>38</v>
      </c>
      <c r="C2" s="5">
        <f>B2/SUM($B$2:$B$29)</f>
        <v>9.921671018276762E-2</v>
      </c>
      <c r="D2" s="2"/>
    </row>
    <row r="3" spans="1:4" x14ac:dyDescent="0.3">
      <c r="A3" t="s">
        <v>40</v>
      </c>
      <c r="B3">
        <v>30</v>
      </c>
      <c r="C3" s="5">
        <f t="shared" ref="C3:C29" si="0">B3/SUM($B$2:$B$29)</f>
        <v>7.8328981723237601E-2</v>
      </c>
      <c r="D3" s="2"/>
    </row>
    <row r="4" spans="1:4" x14ac:dyDescent="0.3">
      <c r="A4" t="s">
        <v>42</v>
      </c>
      <c r="B4">
        <v>26</v>
      </c>
      <c r="C4" s="5">
        <f t="shared" si="0"/>
        <v>6.7885117493472591E-2</v>
      </c>
      <c r="D4" s="2"/>
    </row>
    <row r="5" spans="1:4" x14ac:dyDescent="0.3">
      <c r="A5" t="s">
        <v>41</v>
      </c>
      <c r="B5">
        <v>26</v>
      </c>
      <c r="C5" s="5">
        <f t="shared" si="0"/>
        <v>6.7885117493472591E-2</v>
      </c>
      <c r="D5" s="2"/>
    </row>
    <row r="6" spans="1:4" x14ac:dyDescent="0.3">
      <c r="A6" t="s">
        <v>43</v>
      </c>
      <c r="B6">
        <v>23</v>
      </c>
      <c r="C6" s="5">
        <f t="shared" si="0"/>
        <v>6.0052219321148827E-2</v>
      </c>
      <c r="D6" s="2"/>
    </row>
    <row r="7" spans="1:4" x14ac:dyDescent="0.3">
      <c r="A7" t="s">
        <v>44</v>
      </c>
      <c r="B7">
        <v>22</v>
      </c>
      <c r="C7" s="5">
        <f t="shared" si="0"/>
        <v>5.7441253263707574E-2</v>
      </c>
      <c r="D7" s="2"/>
    </row>
    <row r="8" spans="1:4" x14ac:dyDescent="0.3">
      <c r="A8" t="s">
        <v>45</v>
      </c>
      <c r="B8">
        <v>21</v>
      </c>
      <c r="C8" s="5">
        <f t="shared" si="0"/>
        <v>5.4830287206266322E-2</v>
      </c>
      <c r="D8" s="2"/>
    </row>
    <row r="9" spans="1:4" x14ac:dyDescent="0.3">
      <c r="A9" t="s">
        <v>46</v>
      </c>
      <c r="B9">
        <v>19</v>
      </c>
      <c r="C9" s="5">
        <f t="shared" si="0"/>
        <v>4.960835509138381E-2</v>
      </c>
      <c r="D9" s="2"/>
    </row>
    <row r="10" spans="1:4" x14ac:dyDescent="0.3">
      <c r="A10" t="s">
        <v>47</v>
      </c>
      <c r="B10">
        <v>19</v>
      </c>
      <c r="C10" s="5">
        <f t="shared" si="0"/>
        <v>4.960835509138381E-2</v>
      </c>
      <c r="D10" s="2"/>
    </row>
    <row r="11" spans="1:4" x14ac:dyDescent="0.3">
      <c r="A11" t="s">
        <v>48</v>
      </c>
      <c r="B11">
        <v>19</v>
      </c>
      <c r="C11" s="5">
        <f t="shared" si="0"/>
        <v>4.960835509138381E-2</v>
      </c>
      <c r="D11" s="2"/>
    </row>
    <row r="12" spans="1:4" x14ac:dyDescent="0.3">
      <c r="A12" t="s">
        <v>49</v>
      </c>
      <c r="B12">
        <v>17</v>
      </c>
      <c r="C12" s="5">
        <f t="shared" si="0"/>
        <v>4.4386422976501305E-2</v>
      </c>
      <c r="D12" s="3"/>
    </row>
    <row r="13" spans="1:4" x14ac:dyDescent="0.3">
      <c r="A13" t="s">
        <v>50</v>
      </c>
      <c r="B13">
        <v>17</v>
      </c>
      <c r="C13" s="5">
        <f t="shared" si="0"/>
        <v>4.4386422976501305E-2</v>
      </c>
    </row>
    <row r="14" spans="1:4" x14ac:dyDescent="0.3">
      <c r="A14" t="s">
        <v>51</v>
      </c>
      <c r="B14">
        <v>15</v>
      </c>
      <c r="C14" s="5">
        <f t="shared" si="0"/>
        <v>3.91644908616188E-2</v>
      </c>
    </row>
    <row r="15" spans="1:4" x14ac:dyDescent="0.3">
      <c r="A15" t="s">
        <v>52</v>
      </c>
      <c r="B15">
        <v>14</v>
      </c>
      <c r="C15" s="5">
        <f t="shared" si="0"/>
        <v>3.6553524804177548E-2</v>
      </c>
    </row>
    <row r="16" spans="1:4" x14ac:dyDescent="0.3">
      <c r="A16" t="s">
        <v>53</v>
      </c>
      <c r="B16">
        <v>13</v>
      </c>
      <c r="C16" s="5">
        <f t="shared" si="0"/>
        <v>3.3942558746736295E-2</v>
      </c>
    </row>
    <row r="17" spans="1:3" x14ac:dyDescent="0.3">
      <c r="A17" t="s">
        <v>54</v>
      </c>
      <c r="B17">
        <v>11</v>
      </c>
      <c r="C17" s="5">
        <f t="shared" si="0"/>
        <v>2.8720626631853787E-2</v>
      </c>
    </row>
    <row r="18" spans="1:3" x14ac:dyDescent="0.3">
      <c r="A18" t="s">
        <v>55</v>
      </c>
      <c r="B18">
        <v>11</v>
      </c>
      <c r="C18" s="5">
        <f t="shared" si="0"/>
        <v>2.8720626631853787E-2</v>
      </c>
    </row>
    <row r="19" spans="1:3" x14ac:dyDescent="0.3">
      <c r="A19" t="s">
        <v>56</v>
      </c>
      <c r="B19">
        <v>9</v>
      </c>
      <c r="C19" s="5">
        <f t="shared" si="0"/>
        <v>2.3498694516971279E-2</v>
      </c>
    </row>
    <row r="20" spans="1:3" x14ac:dyDescent="0.3">
      <c r="A20" t="s">
        <v>57</v>
      </c>
      <c r="B20">
        <v>7</v>
      </c>
      <c r="C20" s="5">
        <f t="shared" si="0"/>
        <v>1.8276762402088774E-2</v>
      </c>
    </row>
    <row r="21" spans="1:3" x14ac:dyDescent="0.3">
      <c r="A21" t="s">
        <v>58</v>
      </c>
      <c r="B21">
        <v>7</v>
      </c>
      <c r="C21" s="5">
        <f t="shared" si="0"/>
        <v>1.8276762402088774E-2</v>
      </c>
    </row>
    <row r="22" spans="1:3" x14ac:dyDescent="0.3">
      <c r="A22" t="s">
        <v>59</v>
      </c>
      <c r="B22">
        <v>5</v>
      </c>
      <c r="C22" s="5">
        <f t="shared" si="0"/>
        <v>1.3054830287206266E-2</v>
      </c>
    </row>
    <row r="23" spans="1:3" x14ac:dyDescent="0.3">
      <c r="A23" t="s">
        <v>60</v>
      </c>
      <c r="B23">
        <v>4</v>
      </c>
      <c r="C23" s="5">
        <f t="shared" si="0"/>
        <v>1.0443864229765013E-2</v>
      </c>
    </row>
    <row r="24" spans="1:3" x14ac:dyDescent="0.3">
      <c r="A24" t="s">
        <v>61</v>
      </c>
      <c r="B24">
        <v>3</v>
      </c>
      <c r="C24" s="5">
        <f t="shared" si="0"/>
        <v>7.832898172323759E-3</v>
      </c>
    </row>
    <row r="25" spans="1:3" x14ac:dyDescent="0.3">
      <c r="A25" t="s">
        <v>62</v>
      </c>
      <c r="B25">
        <v>2</v>
      </c>
      <c r="C25" s="5">
        <f t="shared" si="0"/>
        <v>5.2219321148825066E-3</v>
      </c>
    </row>
    <row r="26" spans="1:3" x14ac:dyDescent="0.3">
      <c r="A26" t="s">
        <v>63</v>
      </c>
      <c r="B26">
        <v>2</v>
      </c>
      <c r="C26" s="5">
        <f t="shared" si="0"/>
        <v>5.2219321148825066E-3</v>
      </c>
    </row>
    <row r="27" spans="1:3" x14ac:dyDescent="0.3">
      <c r="A27" t="s">
        <v>64</v>
      </c>
      <c r="B27">
        <v>1</v>
      </c>
      <c r="C27" s="5">
        <f t="shared" si="0"/>
        <v>2.6109660574412533E-3</v>
      </c>
    </row>
    <row r="28" spans="1:3" x14ac:dyDescent="0.3">
      <c r="A28" t="s">
        <v>65</v>
      </c>
      <c r="B28">
        <v>1</v>
      </c>
      <c r="C28" s="5">
        <f t="shared" si="0"/>
        <v>2.6109660574412533E-3</v>
      </c>
    </row>
    <row r="29" spans="1:3" x14ac:dyDescent="0.3">
      <c r="A29" t="s">
        <v>66</v>
      </c>
      <c r="B29">
        <v>1</v>
      </c>
      <c r="C29" s="5">
        <f t="shared" si="0"/>
        <v>2.6109660574412533E-3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Denial Matrix</vt:lpstr>
      <vt:lpstr>Location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Megahed</cp:lastModifiedBy>
  <dcterms:created xsi:type="dcterms:W3CDTF">2026-04-29T17:43:44Z</dcterms:created>
  <dcterms:modified xsi:type="dcterms:W3CDTF">2026-04-29T18:14:43Z</dcterms:modified>
</cp:coreProperties>
</file>